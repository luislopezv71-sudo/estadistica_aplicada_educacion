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f1723c96c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3e22971aecd43ea"/>
    <x:sheet xmlns:r="http://schemas.openxmlformats.org/officeDocument/2006/relationships" name="Análisis" sheetId="2" r:id="R81538735a1a54605"/>
    <x:sheet xmlns:r="http://schemas.openxmlformats.org/officeDocument/2006/relationships" name="Instrucciones" sheetId="3" r:id="Ra46a97705ff7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0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7e68dc26f4e9f" /><Relationship Type="http://schemas.openxmlformats.org/officeDocument/2006/relationships/theme" Target="/xl/theme/theme1.xml" Id="Rf7617039c85d4915" /><Relationship Type="http://schemas.openxmlformats.org/officeDocument/2006/relationships/sharedStrings" Target="/xl/sharedStrings.xml" Id="R6025ce447cd44509" /><Relationship Type="http://schemas.openxmlformats.org/officeDocument/2006/relationships/worksheet" Target="/xl/worksheets/sheet1.xml" Id="Rc3e22971aecd43ea" /><Relationship Type="http://schemas.openxmlformats.org/officeDocument/2006/relationships/worksheet" Target="/xl/worksheets/sheet2.xml" Id="R81538735a1a54605" /><Relationship Type="http://schemas.openxmlformats.org/officeDocument/2006/relationships/worksheet" Target="/xl/worksheets/sheet3.xml" Id="Ra46a97705ff741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>
      <x:c r="A1" s="6" t="str">
        <x:v>ID</x:v>
      </x:c>
      <x:c r="B1" s="6" t="str">
        <x:v>Modalidad</x:v>
      </x:c>
      <x:c r="C1" s="6" t="str">
        <x:v>Asistencia</x:v>
      </x:c>
      <x:c r="D1" s="6" t="str">
        <x:v>Horas_estudio</x:v>
      </x:c>
      <x:c r="E1" s="6" t="str">
        <x:v>Calificacion_final</x:v>
      </x:c>
    </x:row>
    <x:row r="2">
      <x:c r="A2" t="str">
        <x:v>E001</x:v>
      </x:c>
      <x:c r="B2" t="str">
        <x:v>Presencial</x:v>
      </x:c>
      <x:c r="C2" t="n">
        <x:v>75</x:v>
      </x:c>
      <x:c r="D2" t="n">
        <x:v>5</x:v>
      </x:c>
      <x:c r="E2" t="n">
        <x:v>66</x:v>
      </x:c>
    </x:row>
    <x:row r="3">
      <x:c r="A3" t="str">
        <x:v>E002</x:v>
      </x:c>
      <x:c r="B3" t="str">
        <x:v>Híbrida</x:v>
      </x:c>
      <x:c r="C3" t="n">
        <x:v>86</x:v>
      </x:c>
      <x:c r="D3" t="n">
        <x:v>8</x:v>
      </x:c>
      <x:c r="E3" t="n">
        <x:v>71</x:v>
      </x:c>
    </x:row>
    <x:row r="4">
      <x:c r="A4" t="str">
        <x:v>E003</x:v>
      </x:c>
      <x:c r="B4" t="str">
        <x:v>Virtual</x:v>
      </x:c>
      <x:c r="C4" t="n">
        <x:v>97</x:v>
      </x:c>
      <x:c r="D4" t="n">
        <x:v>11</x:v>
      </x:c>
      <x:c r="E4" t="n">
        <x:v>73</x:v>
      </x:c>
    </x:row>
    <x:row r="5">
      <x:c r="A5" t="str">
        <x:v>E004</x:v>
      </x:c>
      <x:c r="B5" t="str">
        <x:v>Presencial</x:v>
      </x:c>
      <x:c r="C5" t="n">
        <x:v>73</x:v>
      </x:c>
      <x:c r="D5" t="n">
        <x:v>2</x:v>
      </x:c>
      <x:c r="E5" t="n">
        <x:v>87</x:v>
      </x:c>
    </x:row>
    <x:row r="6">
      <x:c r="A6" t="str">
        <x:v>E005</x:v>
      </x:c>
      <x:c r="B6" t="str">
        <x:v>Híbrida</x:v>
      </x:c>
      <x:c r="C6" t="n">
        <x:v>84</x:v>
      </x:c>
      <x:c r="D6" t="n">
        <x:v>5</x:v>
      </x:c>
      <x:c r="E6" t="n">
        <x:v>60</x:v>
      </x:c>
    </x:row>
    <x:row r="7">
      <x:c r="A7" t="str">
        <x:v>E006</x:v>
      </x:c>
      <x:c r="B7" t="str">
        <x:v>Virtual</x:v>
      </x:c>
      <x:c r="C7" t="n">
        <x:v>95</x:v>
      </x:c>
      <x:c r="D7" t="n">
        <x:v>8</x:v>
      </x:c>
      <x:c r="E7" t="n">
        <x:v>62</x:v>
      </x:c>
    </x:row>
    <x:row r="8">
      <x:c r="A8" t="str">
        <x:v>E007</x:v>
      </x:c>
      <x:c r="B8" t="str">
        <x:v>Presencial</x:v>
      </x:c>
      <x:c r="C8" t="n">
        <x:v>71</x:v>
      </x:c>
      <x:c r="D8" t="n">
        <x:v>11</x:v>
      </x:c>
      <x:c r="E8" t="n">
        <x:v>76</x:v>
      </x:c>
    </x:row>
    <x:row r="9">
      <x:c r="A9" t="str">
        <x:v>E008</x:v>
      </x:c>
      <x:c r="B9" t="str">
        <x:v>Híbrida</x:v>
      </x:c>
      <x:c r="C9" t="n">
        <x:v>82</x:v>
      </x:c>
      <x:c r="D9" t="n">
        <x:v>2</x:v>
      </x:c>
      <x:c r="E9" t="n">
        <x:v>81</x:v>
      </x:c>
    </x:row>
    <x:row r="10">
      <x:c r="A10" t="str">
        <x:v>E009</x:v>
      </x:c>
      <x:c r="B10" t="str">
        <x:v>Virtual</x:v>
      </x:c>
      <x:c r="C10" t="n">
        <x:v>93</x:v>
      </x:c>
      <x:c r="D10" t="n">
        <x:v>5</x:v>
      </x:c>
      <x:c r="E10" t="n">
        <x:v>83</x:v>
      </x:c>
    </x:row>
    <x:row r="11">
      <x:c r="A11" t="str">
        <x:v>E010</x:v>
      </x:c>
      <x:c r="B11" t="str">
        <x:v>Presencial</x:v>
      </x:c>
      <x:c r="C11" t="n">
        <x:v>69</x:v>
      </x:c>
      <x:c r="D11" t="n">
        <x:v>8</x:v>
      </x:c>
      <x:c r="E11" t="n">
        <x:v>65</x:v>
      </x:c>
    </x:row>
    <x:row r="12">
      <x:c r="A12" t="str">
        <x:v>E011</x:v>
      </x:c>
      <x:c r="B12" t="str">
        <x:v>Híbrida</x:v>
      </x:c>
      <x:c r="C12" t="n">
        <x:v>80</x:v>
      </x:c>
      <x:c r="D12" t="n">
        <x:v>11</x:v>
      </x:c>
      <x:c r="E12" t="n">
        <x:v>70</x:v>
      </x:c>
    </x:row>
    <x:row r="13">
      <x:c r="A13" t="str">
        <x:v>E012</x:v>
      </x:c>
      <x:c r="B13" t="str">
        <x:v>Virtual</x:v>
      </x:c>
      <x:c r="C13" t="n">
        <x:v>91</x:v>
      </x:c>
      <x:c r="D13" t="n">
        <x:v>2</x:v>
      </x:c>
      <x:c r="E13" t="n">
        <x:v>72</x:v>
      </x:c>
    </x:row>
    <x:row r="14">
      <x:c r="A14" t="str">
        <x:v>E013</x:v>
      </x:c>
      <x:c r="B14" t="str">
        <x:v>Presencial</x:v>
      </x:c>
      <x:c r="C14" t="n">
        <x:v>67</x:v>
      </x:c>
      <x:c r="D14" t="n">
        <x:v>5</x:v>
      </x:c>
      <x:c r="E14" t="n">
        <x:v>86</x:v>
      </x:c>
    </x:row>
    <x:row r="15">
      <x:c r="A15" t="str">
        <x:v>E014</x:v>
      </x:c>
      <x:c r="B15" t="str">
        <x:v>Híbrida</x:v>
      </x:c>
      <x:c r="C15" t="n">
        <x:v>78</x:v>
      </x:c>
      <x:c r="D15" t="n">
        <x:v>8</x:v>
      </x:c>
      <x:c r="E15" t="n">
        <x:v>59</x:v>
      </x:c>
    </x:row>
    <x:row r="16">
      <x:c r="A16" t="str">
        <x:v>E015</x:v>
      </x:c>
      <x:c r="B16" t="str">
        <x:v>Virtual</x:v>
      </x:c>
      <x:c r="C16" t="n">
        <x:v>89</x:v>
      </x:c>
      <x:c r="D16" t="n">
        <x:v>11</x:v>
      </x:c>
      <x:c r="E16" t="n">
        <x:v>61</x:v>
      </x:c>
    </x:row>
    <x:row r="17">
      <x:c r="A17" t="str">
        <x:v>E016</x:v>
      </x:c>
      <x:c r="B17" t="str">
        <x:v>Presencial</x:v>
      </x:c>
      <x:c r="C17" t="n">
        <x:v>65</x:v>
      </x:c>
      <x:c r="D17" t="n">
        <x:v>2</x:v>
      </x:c>
      <x:c r="E17" t="n">
        <x:v>75</x:v>
      </x:c>
    </x:row>
    <x:row r="18">
      <x:c r="A18" t="str">
        <x:v>E017</x:v>
      </x:c>
      <x:c r="B18" t="str">
        <x:v>Híbrida</x:v>
      </x:c>
      <x:c r="C18" t="n">
        <x:v>76</x:v>
      </x:c>
      <x:c r="D18" t="n">
        <x:v>5</x:v>
      </x:c>
      <x:c r="E18" t="n">
        <x:v>80</x:v>
      </x:c>
    </x:row>
    <x:row r="19">
      <x:c r="A19" t="str">
        <x:v>E018</x:v>
      </x:c>
      <x:c r="B19" t="str">
        <x:v>Virtual</x:v>
      </x:c>
      <x:c r="C19" t="n">
        <x:v>87</x:v>
      </x:c>
      <x:c r="D19" t="n">
        <x:v>8</x:v>
      </x:c>
      <x:c r="E19" t="n">
        <x:v>82</x:v>
      </x:c>
    </x:row>
    <x:row r="20">
      <x:c r="A20" t="str">
        <x:v>E019</x:v>
      </x:c>
      <x:c r="B20" t="str">
        <x:v>Presencial</x:v>
      </x:c>
      <x:c r="C20" t="n">
        <x:v>98</x:v>
      </x:c>
      <x:c r="D20" t="n">
        <x:v>11</x:v>
      </x:c>
      <x:c r="E20" t="n">
        <x:v>64</x:v>
      </x:c>
    </x:row>
    <x:row r="21">
      <x:c r="A21" t="str">
        <x:v>E020</x:v>
      </x:c>
      <x:c r="B21" t="str">
        <x:v>Híbrida</x:v>
      </x:c>
      <x:c r="C21" t="n">
        <x:v>74</x:v>
      </x:c>
      <x:c r="D21" t="n">
        <x:v>2</x:v>
      </x:c>
      <x:c r="E21" t="n">
        <x:v>69</x:v>
      </x:c>
    </x:row>
    <x:row r="22">
      <x:c r="A22" t="str">
        <x:v>E021</x:v>
      </x:c>
      <x:c r="B22" t="str">
        <x:v>Virtual</x:v>
      </x:c>
      <x:c r="C22" t="n">
        <x:v>85</x:v>
      </x:c>
      <x:c r="D22" t="n">
        <x:v>5</x:v>
      </x:c>
      <x:c r="E22" t="n">
        <x:v>71</x:v>
      </x:c>
    </x:row>
    <x:row r="23">
      <x:c r="A23" t="str">
        <x:v>E022</x:v>
      </x:c>
      <x:c r="B23" t="str">
        <x:v>Presencial</x:v>
      </x:c>
      <x:c r="C23" t="n">
        <x:v>96</x:v>
      </x:c>
      <x:c r="D23" t="n">
        <x:v>8</x:v>
      </x:c>
      <x:c r="E23" t="n">
        <x:v>85</x:v>
      </x:c>
    </x:row>
    <x:row r="24">
      <x:c r="A24" t="str">
        <x:v>E023</x:v>
      </x:c>
      <x:c r="B24" t="str">
        <x:v>Híbrida</x:v>
      </x:c>
      <x:c r="C24" t="n">
        <x:v>72</x:v>
      </x:c>
      <x:c r="D24" t="n">
        <x:v>11</x:v>
      </x:c>
      <x:c r="E24" t="n">
        <x:v>58</x:v>
      </x:c>
    </x:row>
    <x:row r="25">
      <x:c r="A25" t="str">
        <x:v>E024</x:v>
      </x:c>
      <x:c r="B25" t="str">
        <x:v>Virtual</x:v>
      </x:c>
      <x:c r="C25" t="n">
        <x:v>83</x:v>
      </x:c>
      <x:c r="D25" t="n">
        <x:v>2</x:v>
      </x:c>
      <x:c r="E25" t="n">
        <x:v>60</x:v>
      </x:c>
    </x:row>
    <x:row r="26">
      <x:c r="A26" t="str">
        <x:v>E025</x:v>
      </x:c>
      <x:c r="B26" t="str">
        <x:v>Presencial</x:v>
      </x:c>
      <x:c r="C26" t="n">
        <x:v>94</x:v>
      </x:c>
      <x:c r="D26" t="n">
        <x:v>5</x:v>
      </x:c>
      <x:c r="E26" t="n">
        <x:v>74</x:v>
      </x:c>
    </x:row>
    <x:row r="27">
      <x:c r="A27" t="str">
        <x:v>E026</x:v>
      </x:c>
      <x:c r="B27" t="str">
        <x:v>Híbrida</x:v>
      </x:c>
      <x:c r="C27" t="n">
        <x:v>70</x:v>
      </x:c>
      <x:c r="D27" t="n">
        <x:v>8</x:v>
      </x:c>
      <x:c r="E27" t="n">
        <x:v>79</x:v>
      </x:c>
    </x:row>
    <x:row r="28">
      <x:c r="A28" t="str">
        <x:v>E027</x:v>
      </x:c>
      <x:c r="B28" t="str">
        <x:v>Virtual</x:v>
      </x:c>
      <x:c r="C28" t="n">
        <x:v>81</x:v>
      </x:c>
      <x:c r="D28" t="n">
        <x:v>11</x:v>
      </x:c>
      <x:c r="E28" t="n">
        <x:v>81</x:v>
      </x:c>
    </x:row>
    <x:row r="29">
      <x:c r="A29" t="str">
        <x:v>E028</x:v>
      </x:c>
      <x:c r="B29" t="str">
        <x:v>Presencial</x:v>
      </x:c>
      <x:c r="C29" t="n">
        <x:v>92</x:v>
      </x:c>
      <x:c r="D29" t="n">
        <x:v>2</x:v>
      </x:c>
      <x:c r="E29" t="n">
        <x:v>63</x:v>
      </x:c>
    </x:row>
    <x:row r="30">
      <x:c r="A30" t="str">
        <x:v>E029</x:v>
      </x:c>
      <x:c r="B30" t="str">
        <x:v>Híbrida</x:v>
      </x:c>
      <x:c r="C30" t="n">
        <x:v>68</x:v>
      </x:c>
      <x:c r="D30" t="n">
        <x:v>5</x:v>
      </x:c>
      <x:c r="E30" t="n">
        <x:v>68</x:v>
      </x:c>
    </x:row>
    <x:row r="31">
      <x:c r="A31" t="str">
        <x:v>E030</x:v>
      </x:c>
      <x:c r="B31" t="str">
        <x:v>Virtual</x:v>
      </x:c>
      <x:c r="C31" t="n">
        <x:v>79</x:v>
      </x:c>
      <x:c r="D31" t="n">
        <x:v>8</x:v>
      </x:c>
      <x:c r="E31" t="n">
        <x:v>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1">
      <x:c r="A1" s="6" t="str">
        <x:v>Indicador</x:v>
      </x:c>
      <x:c r="B1" s="6"/>
      <x:c r="C1" s="6" t="str">
        <x:v>Interpretación</x:v>
      </x:c>
    </x:row>
    <x:row r="2">
      <x:c r="A2" t="str">
        <x:v>Tamaño</x:v>
      </x:c>
      <x:c r="B2" t="n">
        <x:f>COUNT(Datos!E2:E31)</x:f>
        <x:v>30</x:v>
      </x:c>
      <x:c r="C2" t="str">
        <x:v>Número de observaciones</x:v>
      </x:c>
    </x:row>
    <x:row r="3">
      <x:c r="A3" t="str">
        <x:v>Media</x:v>
      </x:c>
      <x:c r="B3" t="n">
        <x:f>AVERAGE(Datos!E2:E31)</x:f>
        <x:v>71.7</x:v>
      </x:c>
      <x:c r="C3" t="str">
        <x:v>Centro aritmético</x:v>
      </x:c>
    </x:row>
    <x:row r="4">
      <x:c r="A4" t="str">
        <x:v>Mediana</x:v>
      </x:c>
      <x:c r="B4" t="n">
        <x:f>MEDIAN(Datos!E2:E31)</x:f>
        <x:v>71</x:v>
      </x:c>
      <x:c r="C4" t="str">
        <x:v>Valor central ordenado</x:v>
      </x:c>
    </x:row>
    <x:row r="5">
      <x:c r="A5" t="str">
        <x:v>Moda</x:v>
      </x:c>
      <x:c r="B5" t="n">
        <x:f>_xlfn.MODE.SNGL(Datos!E2:E31)</x:f>
        <x:v>60</x:v>
      </x:c>
      <x:c r="C5" t="str">
        <x:v>Valor más frecuente</x:v>
      </x:c>
    </x:row>
    <x:row r="6">
      <x:c r="A6" t="str">
        <x:v>Mínimo</x:v>
      </x:c>
      <x:c r="B6" t="n">
        <x:f>MIN(Datos!E2:E31)</x:f>
        <x:v>58</x:v>
      </x:c>
      <x:c r="C6" t="str">
        <x:v>Puntuación menor</x:v>
      </x:c>
    </x:row>
    <x:row r="7">
      <x:c r="A7" t="str">
        <x:v>Máximo</x:v>
      </x:c>
      <x:c r="B7" t="n">
        <x:f>MAX(Datos!E2:E31)</x:f>
        <x:v>87</x:v>
      </x:c>
      <x:c r="C7" t="str">
        <x:v>Puntuación mayor</x:v>
      </x:c>
    </x:row>
    <x:row r="8">
      <x:c r="A8" t="str">
        <x:v>Rango</x:v>
      </x:c>
      <x:c r="B8" t="n">
        <x:f>MAX(Datos!E2:E31)-MIN(Datos!E2:E31)</x:f>
        <x:v>29</x:v>
      </x:c>
      <x:c r="C8" t="str">
        <x:v>Dispersión total</x:v>
      </x:c>
    </x:row>
    <x:row r="9">
      <x:c r="A9" t="str">
        <x:v>Varianza muestral</x:v>
      </x:c>
      <x:c r="B9" t="n">
        <x:f>_xlfn.VAR.S(Datos!E2:E31)</x:f>
        <x:v>77.66551724137929</x:v>
      </x:c>
      <x:c r="C9" t="str">
        <x:v>Unidades al cuadrado</x:v>
      </x:c>
    </x:row>
    <x:row r="10">
      <x:c r="A10" t="str">
        <x:v>Desv. estándar muestral</x:v>
      </x:c>
      <x:c r="B10" t="n">
        <x:f>_xlfn.STDEV.S(Datos!E2:E31)</x:f>
        <x:v>8.812804164474512</x:v>
      </x:c>
      <x:c r="C10" t="str">
        <x:v>Dispersión en unidades originales</x:v>
      </x:c>
    </x:row>
    <x:row r="11">
      <x:c r="A11" t="str">
        <x:v>Coef. variación</x:v>
      </x:c>
      <x:c r="B11" s="8" t="n">
        <x:f>_xlfn.STDEV.S(Datos!E2:E31)/AVERAGE(Datos!E2:E31)</x:f>
        <x:v>0.12291219197314521</x:v>
      </x:c>
      <x:c r="C11" t="str">
        <x:v>Interpretación prudente</x:v>
      </x:c>
    </x:row>
    <x:row r="12">
      <x:c r="A12" t="str">
        <x:v>Cuartil 1</x:v>
      </x:c>
      <x:c r="B12" t="n">
        <x:f>_xlfn.QUARTILE.INC(Datos!E2:E31,1)</x:f>
        <x:v>64.25</x:v>
      </x:c>
      <x:c r="C12" t="str">
        <x:v>25% aproximado</x:v>
      </x:c>
    </x:row>
    <x:row r="13">
      <x:c r="A13" t="str">
        <x:v>Cuartil 3</x:v>
      </x:c>
      <x:c r="B13" t="n">
        <x:f>_xlfn.QUARTILE.INC(Datos!E2:E31,3)</x:f>
        <x:v>79.75</x:v>
      </x:c>
      <x:c r="C13" t="str">
        <x:v>75% aproximado</x:v>
      </x:c>
    </x:row>
    <x:row r="14">
      <x:c r="A14" t="str">
        <x:v>RIC</x:v>
      </x:c>
      <x:c r="B14" t="n">
        <x:f>_xlfn.QUARTILE.INC(Datos!E2:E31,3)-_xlfn.QUARTILE.INC(Datos!E2:E31,1)</x:f>
        <x:v>15.5</x:v>
      </x:c>
      <x:c r="C14" t="str">
        <x:v>Rango intercuartílico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4" t="str">
        <x:v>UNIVERSIDAD WILLIAM OSLER</x:v>
      </x:c>
      <x:c r="B1" s="4" t="str">
        <x:v>CLASE 02</x:v>
      </x:c>
    </x:row>
    <x:row r="2">
      <x:c r="A2" t="str">
        <x:v>Catedrático</x:v>
      </x:c>
      <x:c r="B2" t="str">
        <x:v>Luis Arturo López Vergara</x:v>
      </x:c>
    </x:row>
    <x:row r="3">
      <x:c r="A3" t="str">
        <x:v>1</x:v>
      </x:c>
      <x:c r="B3" t="str">
        <x:v>Analice los 30 casos ficticios en Datos.</x:v>
      </x:c>
    </x:row>
    <x:row r="4">
      <x:c r="A4" t="str">
        <x:v>2</x:v>
      </x:c>
      <x:c r="B4" t="str">
        <x:v>Revise y explique las fórmulas de Análisis.</x:v>
      </x:c>
    </x:row>
    <x:row r="5">
      <x:c r="A5" t="str">
        <x:v>3</x:v>
      </x:c>
      <x:c r="B5" t="str">
        <x:v>En Excel español use PROMEDIO, MEDIANA, MODA.UNO, DESVEST.M, VAR.S y CUARTIL.INC.</x:v>
      </x:c>
    </x:row>
    <x:row r="6">
      <x:c r="A6" t="str">
        <x:v>4</x:v>
      </x:c>
      <x:c r="B6" t="str">
        <x:v>Cree tabla de frecuencias por modalidad con CONTAR.SI.</x:v>
      </x:c>
    </x:row>
    <x:row r="7">
      <x:c r="A7" t="str">
        <x:v>5</x:v>
      </x:c>
      <x:c r="B7" t="str">
        <x:v>En jamovi: Exploración &gt; Descriptivos; defina variables y active histogramas, caja y cuartiles.</x:v>
      </x:c>
    </x:row>
    <x:row r="8">
      <x:c r="A8" t="str">
        <x:v>6</x:v>
      </x:c>
      <x:c r="B8" t="str">
        <x:v>Concluya sin inferir causalidad ni representar estos casos como observaciones reales.</x:v>
      </x:c>
    </x:row>
  </x:sheetData>
  <x:pageMargins left="0.7" right="0.7" top="0.75" bottom="0.75" header="0.3" footer="0.3"/>
</x:worksheet>
</file>