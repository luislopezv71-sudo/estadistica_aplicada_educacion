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a471b7368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a150cd51afe4f93"/>
    <x:sheet xmlns:r="http://schemas.openxmlformats.org/officeDocument/2006/relationships" name="Diccionario" sheetId="2" r:id="R731eee4d943c4ba8"/>
    <x:sheet xmlns:r="http://schemas.openxmlformats.org/officeDocument/2006/relationships" name="Ejercicios" sheetId="3" r:id="R9953badafa27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55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5bb3df25f46c7" /><Relationship Type="http://schemas.openxmlformats.org/officeDocument/2006/relationships/theme" Target="/xl/theme/theme1.xml" Id="R4ac712efbea2486f" /><Relationship Type="http://schemas.openxmlformats.org/officeDocument/2006/relationships/sharedStrings" Target="/xl/sharedStrings.xml" Id="Ra57cd642c6804ecd" /><Relationship Type="http://schemas.openxmlformats.org/officeDocument/2006/relationships/worksheet" Target="/xl/worksheets/sheet1.xml" Id="R9a150cd51afe4f93" /><Relationship Type="http://schemas.openxmlformats.org/officeDocument/2006/relationships/worksheet" Target="/xl/worksheets/sheet2.xml" Id="R731eee4d943c4ba8" /><Relationship Type="http://schemas.openxmlformats.org/officeDocument/2006/relationships/worksheet" Target="/xl/worksheets/sheet3.xml" Id="R9953badafa2742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4" t="str">
        <x:v>ID</x:v>
      </x:c>
      <x:c r="B1" s="4" t="str">
        <x:v>Edad</x:v>
      </x:c>
      <x:c r="C1" s="4" t="str">
        <x:v>Modalidad</x:v>
      </x:c>
      <x:c r="D1" s="4" t="str">
        <x:v>Asistencia_pct</x:v>
      </x:c>
      <x:c r="E1" s="4" t="str">
        <x:v>Horas_estudio</x:v>
      </x:c>
      <x:c r="F1" s="4" t="str">
        <x:v>Calificacion_inicial</x:v>
      </x:c>
      <x:c r="G1" s="4" t="str">
        <x:v>Calificacion_final</x:v>
      </x:c>
      <x:c r="H1" s="4" t="str">
        <x:v>Satisfaccion_1a5</x:v>
      </x:c>
    </x:row>
    <x:row r="2">
      <x:c r="A2" t="str">
        <x:v>E001</x:v>
      </x:c>
      <x:c r="B2" t="n">
        <x:v>22</x:v>
      </x:c>
      <x:c r="C2" t="str">
        <x:v>Presencial</x:v>
      </x:c>
      <x:c r="D2" s="8" t="n">
        <x:v>77</x:v>
      </x:c>
      <x:c r="E2" s="8" t="n">
        <x:v>9</x:v>
      </x:c>
      <x:c r="F2" s="8" t="n">
        <x:v>60</x:v>
      </x:c>
      <x:c r="G2" s="8" t="n">
        <x:v>61</x:v>
      </x:c>
      <x:c r="H2" s="8" t="n">
        <x:v>4</x:v>
      </x:c>
    </x:row>
    <x:row r="3">
      <x:c r="A3" t="str">
        <x:v>E002</x:v>
      </x:c>
      <x:c r="B3" t="n">
        <x:v>25</x:v>
      </x:c>
      <x:c r="C3" t="str">
        <x:v>Hibrida</x:v>
      </x:c>
      <x:c r="D3" s="8" t="n">
        <x:v>90</x:v>
      </x:c>
      <x:c r="E3" s="8" t="n">
        <x:v>3</x:v>
      </x:c>
      <x:c r="F3" s="8" t="n">
        <x:v>71</x:v>
      </x:c>
      <x:c r="G3" s="8" t="n">
        <x:v>78</x:v>
      </x:c>
      <x:c r="H3" s="8" t="n">
        <x:v>2</x:v>
      </x:c>
    </x:row>
    <x:row r="4">
      <x:c r="A4" t="str">
        <x:v>E003</x:v>
      </x:c>
      <x:c r="B4" t="n">
        <x:v>28</x:v>
      </x:c>
      <x:c r="C4" t="str">
        <x:v>Virtual</x:v>
      </x:c>
      <x:c r="D4" s="8" t="n">
        <x:v>68</x:v>
      </x:c>
      <x:c r="E4" s="8" t="n">
        <x:v>10</x:v>
      </x:c>
      <x:c r="F4" s="8" t="n">
        <x:v>52</x:v>
      </x:c>
      <x:c r="G4" s="8" t="n">
        <x:v>62</x:v>
      </x:c>
      <x:c r="H4" s="8" t="n">
        <x:v>5</x:v>
      </x:c>
    </x:row>
    <x:row r="5">
      <x:c r="A5" t="str">
        <x:v>E004</x:v>
      </x:c>
      <x:c r="B5" t="n">
        <x:v>31</x:v>
      </x:c>
      <x:c r="C5" t="str">
        <x:v>Presencial</x:v>
      </x:c>
      <x:c r="D5" s="8" t="n">
        <x:v>81</x:v>
      </x:c>
      <x:c r="E5" s="8" t="n">
        <x:v>4</x:v>
      </x:c>
      <x:c r="F5" s="8" t="n">
        <x:v>63</x:v>
      </x:c>
      <x:c r="G5" s="8" t="n">
        <x:v>61</x:v>
      </x:c>
      <x:c r="H5" s="8" t="n">
        <x:v>3</x:v>
      </x:c>
    </x:row>
    <x:row r="6">
      <x:c r="A6" t="str">
        <x:v>E005</x:v>
      </x:c>
      <x:c r="B6" t="n">
        <x:v>34</x:v>
      </x:c>
      <x:c r="C6" t="str">
        <x:v>Hibrida</x:v>
      </x:c>
      <x:c r="D6" s="8" t="n">
        <x:v>94</x:v>
      </x:c>
      <x:c r="E6" s="8" t="n">
        <x:v>11</x:v>
      </x:c>
      <x:c r="F6" s="8" t="n">
        <x:v>74</x:v>
      </x:c>
      <x:c r="G6" s="8" t="n">
        <x:v>78</x:v>
      </x:c>
      <x:c r="H6" s="8" t="n">
        <x:v>1</x:v>
      </x:c>
    </x:row>
    <x:row r="7">
      <x:c r="A7" t="str">
        <x:v>E006</x:v>
      </x:c>
      <x:c r="B7" t="n">
        <x:v>37</x:v>
      </x:c>
      <x:c r="C7" t="str">
        <x:v>Virtual</x:v>
      </x:c>
      <x:c r="D7" s="8" t="n">
        <x:v>72</x:v>
      </x:c>
      <x:c r="E7" s="8" t="n">
        <x:v>5</x:v>
      </x:c>
      <x:c r="F7" s="8" t="n">
        <x:v>55</x:v>
      </x:c>
      <x:c r="G7" s="8" t="n">
        <x:v>62</x:v>
      </x:c>
      <x:c r="H7" s="8" t="n">
        <x:v>4</x:v>
      </x:c>
    </x:row>
    <x:row r="8">
      <x:c r="A8" t="str">
        <x:v>E007</x:v>
      </x:c>
      <x:c r="B8" t="n">
        <x:v>40</x:v>
      </x:c>
      <x:c r="C8" t="str">
        <x:v>Presencial</x:v>
      </x:c>
      <x:c r="D8" s="8" t="n">
        <x:v>85</x:v>
      </x:c>
      <x:c r="E8" s="8" t="n">
        <x:v>12</x:v>
      </x:c>
      <x:c r="F8" s="8" t="n">
        <x:v>66</x:v>
      </x:c>
      <x:c r="G8" s="8" t="n">
        <x:v>80</x:v>
      </x:c>
      <x:c r="H8" s="8" t="n">
        <x:v>2</x:v>
      </x:c>
    </x:row>
    <x:row r="9">
      <x:c r="A9" t="str">
        <x:v>E008</x:v>
      </x:c>
      <x:c r="B9" t="n">
        <x:v>19</x:v>
      </x:c>
      <x:c r="C9" t="str">
        <x:v>Hibrida</x:v>
      </x:c>
      <x:c r="D9" s="8" t="n">
        <x:v>98</x:v>
      </x:c>
      <x:c r="E9" s="8" t="n">
        <x:v>6</x:v>
      </x:c>
      <x:c r="F9" s="8" t="n">
        <x:v>77</x:v>
      </x:c>
      <x:c r="G9" s="8" t="n">
        <x:v>79</x:v>
      </x:c>
      <x:c r="H9" s="8" t="n">
        <x:v>5</x:v>
      </x:c>
    </x:row>
    <x:row r="10">
      <x:c r="A10" t="str">
        <x:v>E009</x:v>
      </x:c>
      <x:c r="B10" t="n">
        <x:v>22</x:v>
      </x:c>
      <x:c r="C10" t="str">
        <x:v>Virtual</x:v>
      </x:c>
      <x:c r="D10" s="8" t="n">
        <x:v>76</x:v>
      </x:c>
      <x:c r="E10" s="8" t="n">
        <x:v>13</x:v>
      </x:c>
      <x:c r="F10" s="8" t="n">
        <x:v>58</x:v>
      </x:c>
      <x:c r="G10" s="8" t="n">
        <x:v>63</x:v>
      </x:c>
      <x:c r="H10" s="8" t="n">
        <x:v>3</x:v>
      </x:c>
    </x:row>
    <x:row r="11">
      <x:c r="A11" t="str">
        <x:v>E010</x:v>
      </x:c>
      <x:c r="B11" t="n">
        <x:v>25</x:v>
      </x:c>
      <x:c r="C11" t="str">
        <x:v>Presencial</x:v>
      </x:c>
      <x:c r="D11" s="8" t="n">
        <x:v>89</x:v>
      </x:c>
      <x:c r="E11" s="8" t="n">
        <x:v>7</x:v>
      </x:c>
      <x:c r="F11" s="8" t="n">
        <x:v>69</x:v>
      </x:c>
      <x:c r="G11" s="8" t="n">
        <x:v>80</x:v>
      </x:c>
      <x:c r="H11" s="8" t="n">
        <x:v>1</x:v>
      </x:c>
    </x:row>
    <x:row r="12">
      <x:c r="A12" t="str">
        <x:v>E011</x:v>
      </x:c>
      <x:c r="B12" t="n">
        <x:v>28</x:v>
      </x:c>
      <x:c r="C12" t="str">
        <x:v>Hibrida</x:v>
      </x:c>
      <x:c r="D12" s="8" t="n">
        <x:v>67</x:v>
      </x:c>
      <x:c r="E12" s="8" t="n">
        <x:v>14</x:v>
      </x:c>
      <x:c r="F12" s="8" t="n">
        <x:v>50</x:v>
      </x:c>
      <x:c r="G12" s="8" t="n">
        <x:v>46</x:v>
      </x:c>
      <x:c r="H12" s="8" t="n">
        <x:v>4</x:v>
      </x:c>
    </x:row>
    <x:row r="13">
      <x:c r="A13" t="str">
        <x:v>E012</x:v>
      </x:c>
      <x:c r="B13" t="n">
        <x:v>31</x:v>
      </x:c>
      <x:c r="C13" t="str">
        <x:v>Virtual</x:v>
      </x:c>
      <x:c r="D13" s="8" t="n">
        <x:v>80</x:v>
      </x:c>
      <x:c r="E13" s="8" t="n">
        <x:v>8</x:v>
      </x:c>
      <x:c r="F13" s="8" t="n">
        <x:v>61</x:v>
      </x:c>
      <x:c r="G13" s="8" t="n">
        <x:v>63</x:v>
      </x:c>
      <x:c r="H13" s="8" t="n">
        <x:v>2</x:v>
      </x:c>
    </x:row>
    <x:row r="14">
      <x:c r="A14" t="str">
        <x:v>E013</x:v>
      </x:c>
      <x:c r="B14" t="n">
        <x:v>34</x:v>
      </x:c>
      <x:c r="C14" t="str">
        <x:v>Presencial</x:v>
      </x:c>
      <x:c r="D14" s="8" t="n">
        <x:v>93</x:v>
      </x:c>
      <x:c r="E14" s="8" t="n">
        <x:v>2</x:v>
      </x:c>
      <x:c r="F14" s="8" t="n">
        <x:v>72</x:v>
      </x:c>
      <x:c r="G14" s="8" t="n">
        <x:v>80</x:v>
      </x:c>
      <x:c r="H14" s="8" t="n">
        <x:v>5</x:v>
      </x:c>
    </x:row>
    <x:row r="15">
      <x:c r="A15" t="str">
        <x:v>E014</x:v>
      </x:c>
      <x:c r="B15" t="n">
        <x:v>37</x:v>
      </x:c>
      <x:c r="C15" t="str">
        <x:v>Hibrida</x:v>
      </x:c>
      <x:c r="D15" s="8" t="n">
        <x:v>71</x:v>
      </x:c>
      <x:c r="E15" s="8" t="n">
        <x:v>9</x:v>
      </x:c>
      <x:c r="F15" s="8" t="n">
        <x:v>53</x:v>
      </x:c>
      <x:c r="G15" s="8" t="n">
        <x:v>64</x:v>
      </x:c>
      <x:c r="H15" s="8" t="n">
        <x:v>3</x:v>
      </x:c>
    </x:row>
    <x:row r="16">
      <x:c r="A16" t="str">
        <x:v>E015</x:v>
      </x:c>
      <x:c r="B16" t="n">
        <x:v>40</x:v>
      </x:c>
      <x:c r="C16" t="str">
        <x:v>Virtual</x:v>
      </x:c>
      <x:c r="D16" s="8" t="n">
        <x:v>84</x:v>
      </x:c>
      <x:c r="E16" s="8" t="n">
        <x:v>3</x:v>
      </x:c>
      <x:c r="F16" s="8" t="n">
        <x:v>64</x:v>
      </x:c>
      <x:c r="G16" s="8" t="n">
        <x:v>63</x:v>
      </x:c>
      <x:c r="H16" s="8" t="n">
        <x:v>1</x:v>
      </x:c>
    </x:row>
    <x:row r="17">
      <x:c r="A17" t="str">
        <x:v>E016</x:v>
      </x:c>
      <x:c r="B17" t="n">
        <x:v>19</x:v>
      </x:c>
      <x:c r="C17" t="str">
        <x:v>Presencial</x:v>
      </x:c>
      <x:c r="D17" s="8" t="n">
        <x:v>97</x:v>
      </x:c>
      <x:c r="E17" s="8" t="n">
        <x:v>10</x:v>
      </x:c>
      <x:c r="F17" s="8" t="n">
        <x:v>75</x:v>
      </x:c>
      <x:c r="G17" s="8" t="n">
        <x:v>81</x:v>
      </x:c>
      <x:c r="H17" s="8" t="n">
        <x:v>4</x:v>
      </x:c>
    </x:row>
    <x:row r="18">
      <x:c r="A18" t="str">
        <x:v>E017</x:v>
      </x:c>
      <x:c r="B18" t="n">
        <x:v>22</x:v>
      </x:c>
      <x:c r="C18" t="str">
        <x:v>Hibrida</x:v>
      </x:c>
      <x:c r="D18" s="8" t="n">
        <x:v>75</x:v>
      </x:c>
      <x:c r="E18" s="8" t="n">
        <x:v>4</x:v>
      </x:c>
      <x:c r="F18" s="8" t="n">
        <x:v>56</x:v>
      </x:c>
      <x:c r="G18" s="8" t="n">
        <x:v>64</x:v>
      </x:c>
      <x:c r="H18" s="8" t="n">
        <x:v>2</x:v>
      </x:c>
    </x:row>
    <x:row r="19">
      <x:c r="A19" t="str">
        <x:v>E018</x:v>
      </x:c>
      <x:c r="B19" t="n">
        <x:v>25</x:v>
      </x:c>
      <x:c r="C19" t="str">
        <x:v>Virtual</x:v>
      </x:c>
      <x:c r="D19" s="8" t="n">
        <x:v>88</x:v>
      </x:c>
      <x:c r="E19" s="8" t="n">
        <x:v>11</x:v>
      </x:c>
      <x:c r="F19" s="8" t="n">
        <x:v>67</x:v>
      </x:c>
      <x:c r="G19" s="8" t="n">
        <x:v>64</x:v>
      </x:c>
      <x:c r="H19" s="8" t="n">
        <x:v>5</x:v>
      </x:c>
    </x:row>
    <x:row r="20">
      <x:c r="A20" t="str">
        <x:v>E019</x:v>
      </x:c>
      <x:c r="B20" t="n">
        <x:v>28</x:v>
      </x:c>
      <x:c r="C20" t="str">
        <x:v>Presencial</x:v>
      </x:c>
      <x:c r="D20" s="8" t="n">
        <x:v>66</x:v>
      </x:c>
      <x:c r="E20" s="8" t="n">
        <x:v>5</x:v>
      </x:c>
      <x:c r="F20" s="8" t="n">
        <x:v>78</x:v>
      </x:c>
      <x:c r="G20" s="8" t="n">
        <x:v>78</x:v>
      </x:c>
      <x:c r="H20" s="8" t="n">
        <x:v>3</x:v>
      </x:c>
    </x:row>
    <x:row r="21">
      <x:c r="A21" t="str">
        <x:v>E020</x:v>
      </x:c>
      <x:c r="B21" t="n">
        <x:v>31</x:v>
      </x:c>
      <x:c r="C21" t="str">
        <x:v>Hibrida</x:v>
      </x:c>
      <x:c r="D21" s="8" t="n">
        <x:v>79</x:v>
      </x:c>
      <x:c r="E21" s="8" t="n">
        <x:v>12</x:v>
      </x:c>
      <x:c r="F21" s="8" t="n">
        <x:v>59</x:v>
      </x:c>
      <x:c r="G21" s="8" t="n">
        <x:v>65</x:v>
      </x:c>
      <x:c r="H21" s="8" t="n">
        <x:v>1</x:v>
      </x:c>
    </x:row>
    <x:row r="22">
      <x:c r="A22" t="str">
        <x:v>E021</x:v>
      </x:c>
      <x:c r="B22" t="n">
        <x:v>34</x:v>
      </x:c>
      <x:c r="C22" t="str">
        <x:v>Virtual</x:v>
      </x:c>
      <x:c r="D22" s="8" t="n">
        <x:v>92</x:v>
      </x:c>
      <x:c r="E22" s="8" t="n">
        <x:v>6</x:v>
      </x:c>
      <x:c r="F22" s="8" t="n">
        <x:v>70</x:v>
      </x:c>
      <x:c r="G22" s="8" t="n">
        <x:v>82</x:v>
      </x:c>
      <x:c r="H22" s="8" t="n">
        <x:v>4</x:v>
      </x:c>
    </x:row>
    <x:row r="23">
      <x:c r="A23" t="str">
        <x:v>E022</x:v>
      </x:c>
      <x:c r="B23" t="n">
        <x:v>37</x:v>
      </x:c>
      <x:c r="C23" t="str">
        <x:v>Presencial</x:v>
      </x:c>
      <x:c r="D23" s="8" t="n">
        <x:v>70</x:v>
      </x:c>
      <x:c r="E23" s="8" t="n">
        <x:v>13</x:v>
      </x:c>
      <x:c r="F23" s="8" t="n">
        <x:v>51</x:v>
      </x:c>
      <x:c r="G23" s="8" t="n">
        <x:v>48</x:v>
      </x:c>
      <x:c r="H23" s="8" t="n">
        <x:v>2</x:v>
      </x:c>
    </x:row>
    <x:row r="24">
      <x:c r="A24" t="str">
        <x:v>E023</x:v>
      </x:c>
      <x:c r="B24" t="n">
        <x:v>40</x:v>
      </x:c>
      <x:c r="C24" t="str">
        <x:v>Hibrida</x:v>
      </x:c>
      <x:c r="D24" s="8" t="n">
        <x:v>83</x:v>
      </x:c>
      <x:c r="E24" s="8" t="n">
        <x:v>7</x:v>
      </x:c>
      <x:c r="F24" s="8" t="n">
        <x:v>62</x:v>
      </x:c>
      <x:c r="G24" s="8" t="n">
        <x:v>65</x:v>
      </x:c>
      <x:c r="H24" s="8" t="n">
        <x:v>5</x:v>
      </x:c>
    </x:row>
    <x:row r="25">
      <x:c r="A25" t="str">
        <x:v>E024</x:v>
      </x:c>
      <x:c r="B25" t="n">
        <x:v>19</x:v>
      </x:c>
      <x:c r="C25" t="str">
        <x:v>Virtual</x:v>
      </x:c>
      <x:c r="D25" s="8" t="n">
        <x:v>96</x:v>
      </x:c>
      <x:c r="E25" s="8" t="n">
        <x:v>14</x:v>
      </x:c>
      <x:c r="F25" s="8" t="n">
        <x:v>73</x:v>
      </x:c>
      <x:c r="G25" s="8" t="n">
        <x:v>83</x:v>
      </x:c>
      <x:c r="H25" s="8" t="n">
        <x:v>3</x:v>
      </x:c>
    </x:row>
    <x:row r="26">
      <x:c r="A26" t="str">
        <x:v>E025</x:v>
      </x:c>
      <x:c r="B26" t="n">
        <x:v>22</x:v>
      </x:c>
      <x:c r="C26" t="str">
        <x:v>Presencial</x:v>
      </x:c>
      <x:c r="D26" s="8" t="n">
        <x:v>74</x:v>
      </x:c>
      <x:c r="E26" s="8" t="n">
        <x:v>8</x:v>
      </x:c>
      <x:c r="F26" s="8" t="n">
        <x:v>54</x:v>
      </x:c>
      <x:c r="G26" s="8" t="n">
        <x:v>66</x:v>
      </x:c>
      <x:c r="H26" s="8" t="n">
        <x:v>1</x:v>
      </x:c>
    </x:row>
    <x:row r="27">
      <x:c r="A27" t="str">
        <x:v>E026</x:v>
      </x:c>
      <x:c r="B27" t="n">
        <x:v>25</x:v>
      </x:c>
      <x:c r="C27" t="str">
        <x:v>Hibrida</x:v>
      </x:c>
      <x:c r="D27" s="8" t="n">
        <x:v>87</x:v>
      </x:c>
      <x:c r="E27" s="8" t="n">
        <x:v>2</x:v>
      </x:c>
      <x:c r="F27" s="8" t="n">
        <x:v>65</x:v>
      </x:c>
      <x:c r="G27" s="8" t="n">
        <x:v>66</x:v>
      </x:c>
      <x:c r="H27" s="8" t="n">
        <x:v>4</x:v>
      </x:c>
    </x:row>
    <x:row r="28">
      <x:c r="A28" t="str">
        <x:v>E027</x:v>
      </x:c>
      <x:c r="B28" t="n">
        <x:v>28</x:v>
      </x:c>
      <x:c r="C28" t="str">
        <x:v>Virtual</x:v>
      </x:c>
      <x:c r="D28" s="8" t="n">
        <x:v>65</x:v>
      </x:c>
      <x:c r="E28" s="8" t="n">
        <x:v>9</x:v>
      </x:c>
      <x:c r="F28" s="8" t="n">
        <x:v>76</x:v>
      </x:c>
      <x:c r="G28" s="8" t="n">
        <x:v>80</x:v>
      </x:c>
      <x:c r="H28" s="8" t="n">
        <x:v>2</x:v>
      </x:c>
    </x:row>
    <x:row r="29">
      <x:c r="A29" t="str">
        <x:v>E028</x:v>
      </x:c>
      <x:c r="B29" t="n">
        <x:v>31</x:v>
      </x:c>
      <x:c r="C29" t="str">
        <x:v>Presencial</x:v>
      </x:c>
      <x:c r="D29" s="8" t="n">
        <x:v>78</x:v>
      </x:c>
      <x:c r="E29" s="8" t="n">
        <x:v>3</x:v>
      </x:c>
      <x:c r="F29" s="8" t="n">
        <x:v>57</x:v>
      </x:c>
      <x:c r="G29" s="8" t="n">
        <x:v>67</x:v>
      </x:c>
      <x:c r="H29" s="8" t="n">
        <x:v>5</x:v>
      </x:c>
    </x:row>
    <x:row r="30">
      <x:c r="A30" t="str">
        <x:v>E029</x:v>
      </x:c>
      <x:c r="B30" t="n">
        <x:v>34</x:v>
      </x:c>
      <x:c r="C30" t="str">
        <x:v>Hibrida</x:v>
      </x:c>
      <x:c r="D30" s="8" t="n">
        <x:v>91</x:v>
      </x:c>
      <x:c r="E30" s="8" t="n">
        <x:v>10</x:v>
      </x:c>
      <x:c r="F30" s="8" t="n">
        <x:v>68</x:v>
      </x:c>
      <x:c r="G30" s="8" t="n">
        <x:v>66</x:v>
      </x:c>
      <x:c r="H30" s="8" t="n">
        <x:v>3</x:v>
      </x:c>
    </x:row>
    <x:row r="31">
      <x:c r="A31" t="str">
        <x:v>E030</x:v>
      </x:c>
      <x:c r="B31" t="n">
        <x:v>37</x:v>
      </x:c>
      <x:c r="C31" t="str">
        <x:v>Virtual</x:v>
      </x:c>
      <x:c r="D31" s="8" t="n">
        <x:v>69</x:v>
      </x:c>
      <x:c r="E31" s="8" t="n">
        <x:v>4</x:v>
      </x:c>
      <x:c r="F31" s="8" t="n">
        <x:v>49</x:v>
      </x:c>
      <x:c r="G31" s="8" t="n">
        <x:v>50</x:v>
      </x:c>
      <x:c r="H31" s="8" t="n">
        <x:v>1</x:v>
      </x:c>
    </x:row>
  </x:sheetData>
  <x:conditionalFormatting sqref="D2:D31">
    <x:cfRule type="dataBar" priority="1">
      <x:dataBar>
        <x:cfvo type="min"/>
        <x:cfvo type="max"/>
        <x:color rgb="FF0D9488"/>
      </x:dataBar>
      <x:extLst>
        <x:ext xmlns:x14="http://schemas.microsoft.com/office/spreadsheetml/2009/9/main" uri="{B025F937-C7B1-47D3-B67F-A62EFF666E3E}">
          <x14:id>{7F706655-754B-344F-91FB-CFF62B7622E9}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706655-754B-344F-91FB-CFF62B7622E9}">
            <x14:dataBar gradient="1">
              <x14:cfvo type="min"/>
              <x14:cfvo type="max"/>
              <x14:fillColor rgb="FF0D9488"/>
            </x14:dataBar>
          </x14:cfRule>
          <xm:sqref>D2:D31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1" hidden="0" customWidth="1"/>
    <x:col min="3" max="3" width="28" hidden="0" customWidth="1"/>
    <x:col min="4" max="4" width="31" hidden="0" customWidth="1"/>
  </x:cols>
  <x:sheetData>
    <x:row r="1" ht="25" customHeight="1">
      <x:c r="A1" s="3" t="str">
        <x:v>Variable</x:v>
      </x:c>
      <x:c r="B1" s="3" t="str">
        <x:v>Definicion operacional</x:v>
      </x:c>
      <x:c r="C1" s="3" t="str">
        <x:v>Tipo / escala</x:v>
      </x:c>
      <x:c r="D1" s="3" t="str">
        <x:v>Valores validos</x:v>
      </x:c>
    </x:row>
    <x:row r="2">
      <x:c r="A2" t="str">
        <x:v>ID</x:v>
      </x:c>
      <x:c r="B2" t="str">
        <x:v>Clave anonima por estudiante</x:v>
      </x:c>
      <x:c r="C2" t="str">
        <x:v>Identificador</x:v>
      </x:c>
      <x:c r="D2" t="str">
        <x:v>E001 a E030</x:v>
      </x:c>
    </x:row>
    <x:row r="3">
      <x:c r="A3" t="str">
        <x:v>Edad</x:v>
      </x:c>
      <x:c r="B3" t="str">
        <x:v>Edad declarada en años cumplidos</x:v>
      </x:c>
      <x:c r="C3" t="str">
        <x:v>Cuantitativa / razon</x:v>
      </x:c>
      <x:c r="D3" t="str">
        <x:v>18 a 65</x:v>
      </x:c>
    </x:row>
    <x:row r="4">
      <x:c r="A4" t="str">
        <x:v>Modalidad</x:v>
      </x:c>
      <x:c r="B4" t="str">
        <x:v>Modalidad de estudio</x:v>
      </x:c>
      <x:c r="C4" t="str">
        <x:v>Cualitativa / nominal</x:v>
      </x:c>
      <x:c r="D4" t="str">
        <x:v>Presencial, Hibrida, Virtual</x:v>
      </x:c>
    </x:row>
    <x:row r="5">
      <x:c r="A5" t="str">
        <x:v>Asistencia_pct</x:v>
      </x:c>
      <x:c r="B5" t="str">
        <x:v>Porcentaje de sesiones asistidas</x:v>
      </x:c>
      <x:c r="C5" t="str">
        <x:v>Cuantitativa / razon</x:v>
      </x:c>
      <x:c r="D5" t="str">
        <x:v>0 a 100</x:v>
      </x:c>
    </x:row>
    <x:row r="6">
      <x:c r="A6" t="str">
        <x:v>Horas_estudio</x:v>
      </x:c>
      <x:c r="B6" t="str">
        <x:v>Horas semanales de estudio fuera de clase</x:v>
      </x:c>
      <x:c r="C6" t="str">
        <x:v>Cuantitativa / razon</x:v>
      </x:c>
      <x:c r="D6" t="str">
        <x:v>0 a 168</x:v>
      </x:c>
    </x:row>
    <x:row r="7">
      <x:c r="A7" t="str">
        <x:v>Calificacion_inicial</x:v>
      </x:c>
      <x:c r="B7" t="str">
        <x:v>Puntuacion inicial en prueba comun</x:v>
      </x:c>
      <x:c r="C7" t="str">
        <x:v>Cuantitativa / puntuacion</x:v>
      </x:c>
      <x:c r="D7" t="str">
        <x:v>0 a 100</x:v>
      </x:c>
    </x:row>
    <x:row r="8">
      <x:c r="A8" t="str">
        <x:v>Calificacion_final</x:v>
      </x:c>
      <x:c r="B8" t="str">
        <x:v>Puntuacion final en prueba comun</x:v>
      </x:c>
      <x:c r="C8" t="str">
        <x:v>Cuantitativa / puntuacion</x:v>
      </x:c>
      <x:c r="D8" t="str">
        <x:v>0 a 100</x:v>
      </x:c>
    </x:row>
    <x:row r="9">
      <x:c r="A9" t="str">
        <x:v>Satisfaccion_1a5</x:v>
      </x:c>
      <x:c r="B9" t="str">
        <x:v>Respuesta a item unico de satisfaccion</x:v>
      </x:c>
      <x:c r="C9" t="str">
        <x:v>Cualitativa / ordinal</x:v>
      </x:c>
      <x:c r="D9" t="str">
        <x:v>1,2,3,4,5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8" hidden="0" customWidth="1"/>
    <x:col min="4" max="4" width="28" hidden="0" customWidth="1"/>
    <x:col min="5" max="5" width="20" hidden="0" customWidth="1"/>
  </x:cols>
  <x:sheetData>
    <x:row r="1">
      <x:c r="A1" s="3" t="str">
        <x:v>Actividad</x:v>
      </x:c>
      <x:c r="B1" s="3" t="str">
        <x:v>Instruccion</x:v>
      </x:c>
      <x:c r="D1" s="11" t="str">
        <x:v>Resumen</x:v>
      </x:c>
      <x:c r="E1" s="11" t="str">
        <x:v>Resultado</x:v>
      </x:c>
    </x:row>
    <x:row r="2">
      <x:c r="A2" t="str">
        <x:v>1</x:v>
      </x:c>
      <x:c r="B2" t="str">
        <x:v>Identifique poblacion, muestra y unidad de analisis</x:v>
      </x:c>
      <x:c r="D2" t="str">
        <x:v>N</x:v>
      </x:c>
      <x:c r="E2" t="n">
        <x:f>COUNTA(Datos!A2:A31)</x:f>
        <x:v>30</x:v>
      </x:c>
    </x:row>
    <x:row r="3">
      <x:c r="A3" t="str">
        <x:v>2</x:v>
      </x:c>
      <x:c r="B3" t="str">
        <x:v>Clasifique todas las variables</x:v>
      </x:c>
      <x:c r="D3" t="str">
        <x:v>Promedio calificacion final</x:v>
      </x:c>
      <x:c r="E3" t="n">
        <x:f>AVERAGE(Datos!G2:G31)</x:f>
        <x:v>68.16666666666667</x:v>
      </x:c>
    </x:row>
    <x:row r="4">
      <x:c r="A4" t="str">
        <x:v>3</x:v>
      </x:c>
      <x:c r="B4" t="str">
        <x:v>Revise IDs duplicados y celdas vacias</x:v>
      </x:c>
      <x:c r="D4" t="str">
        <x:v>Modalidad virtual N</x:v>
      </x:c>
      <x:c r="E4" t="n">
        <x:f>COUNTIF(Datos!C2:C31,"Virtual")</x:f>
        <x:v>10</x:v>
      </x:c>
    </x:row>
    <x:row r="5">
      <x:c r="A5" t="str">
        <x:v>4</x:v>
      </x:c>
      <x:c r="B5" t="str">
        <x:v>Calcule la media de calificacion final</x:v>
      </x:c>
      <x:c r="D5" t="str">
        <x:v>Media presencial</x:v>
      </x:c>
      <x:c r="E5" t="n">
        <x:f>AVERAGEIF(Datos!C2:C31,"Presencial",Datos!G2:G31)</x:f>
        <x:v>70.2</x:v>
      </x:c>
    </x:row>
    <x:row r="6">
      <x:c r="A6" t="str">
        <x:v>5</x:v>
      </x:c>
      <x:c r="B6" t="str">
        <x:v>Cuente estudiantes virtuales</x:v>
      </x:c>
      <x:c r="D6" t="str">
        <x:v>Media hibrida</x:v>
      </x:c>
      <x:c r="E6" t="n">
        <x:f>AVERAGEIF(Datos!C2:C31,"Hibrida",Datos!G2:G31)</x:f>
        <x:v>67.1</x:v>
      </x:c>
    </x:row>
    <x:row r="7">
      <x:c r="A7" t="str">
        <x:v>6</x:v>
      </x:c>
      <x:c r="B7" t="str">
        <x:v>Calcule promedio por modalidad</x:v>
      </x:c>
      <x:c r="D7" t="str">
        <x:v>Media virtual</x:v>
      </x:c>
      <x:c r="E7" t="n">
        <x:f>AVERAGEIF(Datos!C2:C31,"Virtual",Datos!G2:G31)</x:f>
        <x:v>67.2</x:v>
      </x:c>
    </x:row>
    <x:row r="8">
      <x:c r="A8" t="str">
        <x:v>7</x:v>
      </x:c>
      <x:c r="B8" t="str">
        <x:v>Compare descriptivamente los tres grupos</x:v>
      </x:c>
    </x:row>
    <x:row r="9">
      <x:c r="A9" t="str">
        <x:v>8</x:v>
      </x:c>
      <x:c r="B9" t="str">
        <x:v>Explique por que no se puede concluir causalidad</x:v>
      </x:c>
    </x:row>
  </x:sheetData>
  <x:pageMargins left="0.7" right="0.7" top="0.75" bottom="0.75" header="0.3" footer="0.3"/>
</x:worksheet>
</file>